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sh\Pictures\BOTV202\"/>
    </mc:Choice>
  </mc:AlternateContent>
  <xr:revisionPtr revIDLastSave="0" documentId="13_ncr:1_{B7417403-690C-4396-90B9-D357A133CF89}" xr6:coauthVersionLast="47" xr6:coauthVersionMax="47" xr10:uidLastSave="{00000000-0000-0000-0000-000000000000}"/>
  <bookViews>
    <workbookView xWindow="-108" yWindow="-108" windowWidth="23256" windowHeight="12456" xr2:uid="{F48F0F8A-0946-4B40-89C5-A67ED5823051}"/>
  </bookViews>
  <sheets>
    <sheet name="Sheet2" sheetId="2" r:id="rId1"/>
    <sheet name="Sheet5" sheetId="5" r:id="rId2"/>
    <sheet name="Sheet6" sheetId="6" r:id="rId3"/>
    <sheet name="Sheet8" sheetId="8" r:id="rId4"/>
    <sheet name="Sheet1" sheetId="1" r:id="rId5"/>
  </sheets>
  <definedNames>
    <definedName name="_xlcn.WorksheetConnection_Sheet1A1J10" hidden="1">Sheet1!$A$1:$J$10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J$1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AD8F39-0B2F-4178-AEE9-F5C0960634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0E9F3F4-C749-4741-BD58-A93B1F32102B}" name="WorksheetConnection_Sheet1!$A$1:$J$1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J10"/>
        </x15:connection>
      </ext>
    </extLst>
  </connection>
</connections>
</file>

<file path=xl/sharedStrings.xml><?xml version="1.0" encoding="utf-8"?>
<sst xmlns="http://schemas.openxmlformats.org/spreadsheetml/2006/main" count="80" uniqueCount="34">
  <si>
    <t>Group</t>
  </si>
  <si>
    <t>Salinity(psu)</t>
  </si>
  <si>
    <t>TDS(m/L)</t>
  </si>
  <si>
    <t>pH</t>
  </si>
  <si>
    <t>D.O %</t>
  </si>
  <si>
    <t>D.0. mg/L</t>
  </si>
  <si>
    <t>Chl a (mg/L)</t>
  </si>
  <si>
    <t>Dominant plant</t>
  </si>
  <si>
    <t>E.C. /cm</t>
  </si>
  <si>
    <t>Temp( C)</t>
  </si>
  <si>
    <t>A</t>
  </si>
  <si>
    <t>B</t>
  </si>
  <si>
    <t>C</t>
  </si>
  <si>
    <t>D</t>
  </si>
  <si>
    <t>E</t>
  </si>
  <si>
    <t>F</t>
  </si>
  <si>
    <t>H</t>
  </si>
  <si>
    <t>I</t>
  </si>
  <si>
    <t>G</t>
  </si>
  <si>
    <t>Schoenoptectus nigricans</t>
  </si>
  <si>
    <t>Schoenoptectus littoralis</t>
  </si>
  <si>
    <t>Cyperus laevigatus</t>
  </si>
  <si>
    <t>Phrangmites australis</t>
  </si>
  <si>
    <t>Gazaniarigens</t>
  </si>
  <si>
    <t>Arctotheca populifolia</t>
  </si>
  <si>
    <t>Row Labels</t>
  </si>
  <si>
    <t>Grand Total</t>
  </si>
  <si>
    <t>Sum of D.O %</t>
  </si>
  <si>
    <t>Sum of D.0. mg/L</t>
  </si>
  <si>
    <t>Sum of Temp( C)</t>
  </si>
  <si>
    <t>Sum of pH</t>
  </si>
  <si>
    <t>Sum of E.C. /cm</t>
  </si>
  <si>
    <t>Sum of TDS(m/L)</t>
  </si>
  <si>
    <t>Sum of Salinity(psu)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</si>
</sst>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D.O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54</c:v>
                </c:pt>
                <c:pt idx="1">
                  <c:v>96.37</c:v>
                </c:pt>
                <c:pt idx="2">
                  <c:v>42.23</c:v>
                </c:pt>
                <c:pt idx="3">
                  <c:v>40.25</c:v>
                </c:pt>
                <c:pt idx="4">
                  <c:v>27.43</c:v>
                </c:pt>
                <c:pt idx="5">
                  <c:v>60.67</c:v>
                </c:pt>
                <c:pt idx="6">
                  <c:v>31.03</c:v>
                </c:pt>
                <c:pt idx="7">
                  <c:v>47.58</c:v>
                </c:pt>
                <c:pt idx="8">
                  <c:v>48.7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8-482E-8338-430084E73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791536"/>
        <c:axId val="1947796528"/>
      </c:barChart>
      <c:lineChart>
        <c:grouping val="standard"/>
        <c:varyColors val="0"/>
        <c:ser>
          <c:idx val="1"/>
          <c:order val="1"/>
          <c:tx>
            <c:strRef>
              <c:f>Sheet2!$C$3</c:f>
              <c:strCache>
                <c:ptCount val="1"/>
                <c:pt idx="0">
                  <c:v>Sum of D.0.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Sheet2!$A$4:$A$13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Sheet2!$C$4:$C$13</c:f>
              <c:numCache>
                <c:formatCode>General</c:formatCode>
                <c:ptCount val="9"/>
                <c:pt idx="0">
                  <c:v>5.56</c:v>
                </c:pt>
                <c:pt idx="1">
                  <c:v>9.9600000000000009</c:v>
                </c:pt>
                <c:pt idx="2">
                  <c:v>4.3499999999999996</c:v>
                </c:pt>
                <c:pt idx="3">
                  <c:v>2.17</c:v>
                </c:pt>
                <c:pt idx="4">
                  <c:v>3.04</c:v>
                </c:pt>
                <c:pt idx="5">
                  <c:v>6.59</c:v>
                </c:pt>
                <c:pt idx="6">
                  <c:v>1.35</c:v>
                </c:pt>
                <c:pt idx="7">
                  <c:v>4.79</c:v>
                </c:pt>
                <c:pt idx="8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98-482E-8338-430084E73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791536"/>
        <c:axId val="1947796528"/>
      </c:lineChart>
      <c:catAx>
        <c:axId val="19477915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796528"/>
        <c:crosses val="autoZero"/>
        <c:auto val="1"/>
        <c:lblAlgn val="ctr"/>
        <c:lblOffset val="100"/>
        <c:noMultiLvlLbl val="0"/>
      </c:catAx>
      <c:valAx>
        <c:axId val="194779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79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[Book1.xlsx]Sheet5!PivotTable2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TDS(m/L)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Sheet5!$A$4:$A$13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Sheet5!$B$4:$B$13</c:f>
              <c:numCache>
                <c:formatCode>General</c:formatCode>
                <c:ptCount val="9"/>
                <c:pt idx="0">
                  <c:v>2033</c:v>
                </c:pt>
                <c:pt idx="1">
                  <c:v>2038.67</c:v>
                </c:pt>
                <c:pt idx="2">
                  <c:v>2015</c:v>
                </c:pt>
                <c:pt idx="3">
                  <c:v>265.25</c:v>
                </c:pt>
                <c:pt idx="4">
                  <c:v>1275.25</c:v>
                </c:pt>
                <c:pt idx="5">
                  <c:v>11397.07</c:v>
                </c:pt>
                <c:pt idx="6">
                  <c:v>784</c:v>
                </c:pt>
                <c:pt idx="7">
                  <c:v>650</c:v>
                </c:pt>
                <c:pt idx="8">
                  <c:v>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2-4186-A834-50C7E6516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838064"/>
        <c:axId val="505151808"/>
      </c:barChart>
      <c:lineChart>
        <c:grouping val="standard"/>
        <c:varyColors val="0"/>
        <c:ser>
          <c:idx val="1"/>
          <c:order val="1"/>
          <c:tx>
            <c:strRef>
              <c:f>Sheet5!$C$3</c:f>
              <c:strCache>
                <c:ptCount val="1"/>
                <c:pt idx="0">
                  <c:v>Sum of E.C. /cm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Sheet5!$A$4:$A$13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Sheet5!$C$4:$C$13</c:f>
              <c:numCache>
                <c:formatCode>General</c:formatCode>
                <c:ptCount val="9"/>
                <c:pt idx="0">
                  <c:v>4065</c:v>
                </c:pt>
                <c:pt idx="1">
                  <c:v>4082</c:v>
                </c:pt>
                <c:pt idx="2">
                  <c:v>4046</c:v>
                </c:pt>
                <c:pt idx="3">
                  <c:v>528.75</c:v>
                </c:pt>
                <c:pt idx="4">
                  <c:v>25505</c:v>
                </c:pt>
                <c:pt idx="5">
                  <c:v>4078</c:v>
                </c:pt>
                <c:pt idx="6">
                  <c:v>1105.33</c:v>
                </c:pt>
                <c:pt idx="7">
                  <c:v>641.25</c:v>
                </c:pt>
                <c:pt idx="8">
                  <c:v>4130.33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2-4186-A834-50C7E6516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838064"/>
        <c:axId val="505151808"/>
      </c:lineChart>
      <c:catAx>
        <c:axId val="19388380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51808"/>
        <c:crosses val="autoZero"/>
        <c:auto val="1"/>
        <c:lblAlgn val="ctr"/>
        <c:lblOffset val="100"/>
        <c:noMultiLvlLbl val="0"/>
      </c:catAx>
      <c:valAx>
        <c:axId val="50515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3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Temp( 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Sheet6!$A$4:$A$13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Sheet6!$B$4:$B$13</c:f>
              <c:numCache>
                <c:formatCode>General</c:formatCode>
                <c:ptCount val="9"/>
                <c:pt idx="0">
                  <c:v>12.33</c:v>
                </c:pt>
                <c:pt idx="1">
                  <c:v>11.06</c:v>
                </c:pt>
                <c:pt idx="2">
                  <c:v>11.59</c:v>
                </c:pt>
                <c:pt idx="3">
                  <c:v>15.41</c:v>
                </c:pt>
                <c:pt idx="4">
                  <c:v>11.96</c:v>
                </c:pt>
                <c:pt idx="5">
                  <c:v>11.79</c:v>
                </c:pt>
                <c:pt idx="6">
                  <c:v>14.46</c:v>
                </c:pt>
                <c:pt idx="7">
                  <c:v>11.79</c:v>
                </c:pt>
                <c:pt idx="8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0-43F2-9BF5-2CD1E9224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262432"/>
        <c:axId val="1884262848"/>
      </c:barChart>
      <c:lineChart>
        <c:grouping val="standard"/>
        <c:varyColors val="0"/>
        <c:ser>
          <c:idx val="1"/>
          <c:order val="1"/>
          <c:tx>
            <c:strRef>
              <c:f>Sheet6!$C$3</c:f>
              <c:strCache>
                <c:ptCount val="1"/>
                <c:pt idx="0">
                  <c:v>Sum of pH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Sheet6!$A$4:$A$13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Sheet6!$C$4:$C$13</c:f>
              <c:numCache>
                <c:formatCode>General</c:formatCode>
                <c:ptCount val="9"/>
                <c:pt idx="0">
                  <c:v>8.0399999999999991</c:v>
                </c:pt>
                <c:pt idx="1">
                  <c:v>8.23</c:v>
                </c:pt>
                <c:pt idx="2">
                  <c:v>8.0299999999999994</c:v>
                </c:pt>
                <c:pt idx="3">
                  <c:v>8.31</c:v>
                </c:pt>
                <c:pt idx="4">
                  <c:v>7.69</c:v>
                </c:pt>
                <c:pt idx="5">
                  <c:v>7.9</c:v>
                </c:pt>
                <c:pt idx="6">
                  <c:v>7.37</c:v>
                </c:pt>
                <c:pt idx="7">
                  <c:v>5.8</c:v>
                </c:pt>
                <c:pt idx="8">
                  <c:v>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0-43F2-9BF5-2CD1E9224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4262432"/>
        <c:axId val="1884262848"/>
      </c:lineChart>
      <c:catAx>
        <c:axId val="188426243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262848"/>
        <c:crosses val="autoZero"/>
        <c:auto val="1"/>
        <c:lblAlgn val="ctr"/>
        <c:lblOffset val="100"/>
        <c:noMultiLvlLbl val="0"/>
      </c:catAx>
      <c:valAx>
        <c:axId val="188426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26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[Book1.xlsx]Sheet8!PivotTable5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Sum of Salinity(psu)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Sheet8!$A$4:$A$13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Sheet8!$B$4:$B$13</c:f>
              <c:numCache>
                <c:formatCode>General</c:formatCode>
                <c:ptCount val="9"/>
                <c:pt idx="0">
                  <c:v>2.17</c:v>
                </c:pt>
                <c:pt idx="1">
                  <c:v>2.1800000000000002</c:v>
                </c:pt>
                <c:pt idx="2">
                  <c:v>2.19</c:v>
                </c:pt>
                <c:pt idx="3">
                  <c:v>0.26</c:v>
                </c:pt>
                <c:pt idx="4">
                  <c:v>1.32</c:v>
                </c:pt>
                <c:pt idx="5">
                  <c:v>2.1800000000000002</c:v>
                </c:pt>
                <c:pt idx="6">
                  <c:v>0.5</c:v>
                </c:pt>
                <c:pt idx="7">
                  <c:v>0.42</c:v>
                </c:pt>
                <c:pt idx="8">
                  <c:v>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B-4121-A5CF-30CE6843C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317680"/>
        <c:axId val="517300624"/>
      </c:barChart>
      <c:lineChart>
        <c:grouping val="standard"/>
        <c:varyColors val="0"/>
        <c:ser>
          <c:idx val="1"/>
          <c:order val="1"/>
          <c:tx>
            <c:strRef>
              <c:f>Sheet8!$C$3</c:f>
              <c:strCache>
                <c:ptCount val="1"/>
                <c:pt idx="0">
                  <c:v>Sum of D.0. mg/L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Sheet8!$A$4:$A$13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Sheet8!$C$4:$C$13</c:f>
              <c:numCache>
                <c:formatCode>General</c:formatCode>
                <c:ptCount val="9"/>
                <c:pt idx="0">
                  <c:v>5.56</c:v>
                </c:pt>
                <c:pt idx="1">
                  <c:v>9.9600000000000009</c:v>
                </c:pt>
                <c:pt idx="2">
                  <c:v>4.3499999999999996</c:v>
                </c:pt>
                <c:pt idx="3">
                  <c:v>2.17</c:v>
                </c:pt>
                <c:pt idx="4">
                  <c:v>3.04</c:v>
                </c:pt>
                <c:pt idx="5">
                  <c:v>6.59</c:v>
                </c:pt>
                <c:pt idx="6">
                  <c:v>1.35</c:v>
                </c:pt>
                <c:pt idx="7">
                  <c:v>4.79</c:v>
                </c:pt>
                <c:pt idx="8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4B-4121-A5CF-30CE6843C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317680"/>
        <c:axId val="517300624"/>
      </c:lineChart>
      <c:catAx>
        <c:axId val="51731768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00624"/>
        <c:crosses val="autoZero"/>
        <c:auto val="1"/>
        <c:lblAlgn val="ctr"/>
        <c:lblOffset val="100"/>
        <c:noMultiLvlLbl val="0"/>
      </c:catAx>
      <c:valAx>
        <c:axId val="5173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1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298450</xdr:colOff>
      <xdr:row>1</xdr:row>
      <xdr:rowOff>139700</xdr:rowOff>
    </xdr:from>
    <xdr:to>
      <xdr:col>10</xdr:col>
      <xdr:colOff>603250</xdr:colOff>
      <xdr:row>16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5496A8-5F5E-64C6-0D4E-38E27E157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2</xdr:row>
      <xdr:rowOff>127000</xdr:rowOff>
    </xdr:from>
    <xdr:to>
      <xdr:col>8</xdr:col>
      <xdr:colOff>552450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E35D01-1B9C-3634-A80C-23C8F7256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2</xdr:row>
      <xdr:rowOff>127000</xdr:rowOff>
    </xdr:from>
    <xdr:to>
      <xdr:col>9</xdr:col>
      <xdr:colOff>279400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072B86-1B85-F3F6-D2D1-47F58BA6B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459740</xdr:colOff>
      <xdr:row>2</xdr:row>
      <xdr:rowOff>96520</xdr:rowOff>
    </xdr:from>
    <xdr:to>
      <xdr:col>12</xdr:col>
      <xdr:colOff>116840</xdr:colOff>
      <xdr:row>17</xdr:row>
      <xdr:rowOff>77470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EFFA4-54D5-6732-6B9C-7DEF4B409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QAPHELE JAKENI" refreshedDate="44790.497104282411" backgroundQuery="1" createdVersion="8" refreshedVersion="8" minRefreshableVersion="3" recordCount="0" supportSubquery="1" supportAdvancedDrill="1" xr:uid="{6FFDDEDB-17F2-4ED4-880C-B43B6AB9A54F}">
  <cacheSource type="external" connectionId="1"/>
  <cacheFields count="3">
    <cacheField name="[Range].[Group].[Group]" caption="Group" numFmtId="0" level="1">
      <sharedItems count="9">
        <s v="A"/>
        <s v="B"/>
        <s v="C"/>
        <s v="D"/>
        <s v="E"/>
        <s v="F"/>
        <s v="G"/>
        <s v="H"/>
        <s v="I"/>
      </sharedItems>
    </cacheField>
    <cacheField name="[Measures].[Sum of D.O %]" caption="Sum of D.O %" numFmtId="0" hierarchy="13" level="32767"/>
    <cacheField name="[Measures].[Sum of D.0. mg/L]" caption="Sum of D.0. mg/L" numFmtId="0" hierarchy="14" level="32767"/>
  </cacheFields>
  <cacheHierarchies count="15">
    <cacheHierarchy uniqueName="[Range].[Group]" caption="Group" attribute="1" defaultMemberUniqueName="[Range].[Group].[All]" allUniqueName="[Range].[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emp( C)]" caption="Temp( C)" attribute="1" defaultMemberUniqueName="[Range].[Temp( C)].[All]" allUniqueName="[Range].[Temp( C)].[All]" dimensionUniqueName="[Range]" displayFolder="" count="0" memberValueDatatype="5" unbalanced="0"/>
    <cacheHierarchy uniqueName="[Range].[Salinity(psu)]" caption="Salinity(psu)" attribute="1" defaultMemberUniqueName="[Range].[Salinity(psu)].[All]" allUniqueName="[Range].[Salinity(psu)].[All]" dimensionUniqueName="[Range]" displayFolder="" count="0" memberValueDatatype="5" unbalanced="0"/>
    <cacheHierarchy uniqueName="[Range].[TDS(m/L)]" caption="TDS(m/L)" attribute="1" defaultMemberUniqueName="[Range].[TDS(m/L)].[All]" allUniqueName="[Range].[TDS(m/L)].[All]" dimensionUniqueName="[Range]" displayFolder="" count="0" memberValueDatatype="5" unbalanced="0"/>
    <cacheHierarchy uniqueName="[Range].[pH]" caption="pH" attribute="1" defaultMemberUniqueName="[Range].[pH].[All]" allUniqueName="[Range].[pH].[All]" dimensionUniqueName="[Range]" displayFolder="" count="0" memberValueDatatype="5" unbalanced="0"/>
    <cacheHierarchy uniqueName="[Range].[E.C. /cm]" caption="E.C. /cm" attribute="1" defaultMemberUniqueName="[Range].[E.C. /cm].[All]" allUniqueName="[Range].[E.C. /cm].[All]" dimensionUniqueName="[Range]" displayFolder="" count="0" memberValueDatatype="5" unbalanced="0"/>
    <cacheHierarchy uniqueName="[Range].[D.O %]" caption="D.O %" attribute="1" defaultMemberUniqueName="[Range].[D.O %].[All]" allUniqueName="[Range].[D.O %].[All]" dimensionUniqueName="[Range]" displayFolder="" count="0" memberValueDatatype="5" unbalanced="0"/>
    <cacheHierarchy uniqueName="[Range].[D.0. mg/L]" caption="D.0. mg/L" attribute="1" defaultMemberUniqueName="[Range].[D.0. mg/L].[All]" allUniqueName="[Range].[D.0. mg/L].[All]" dimensionUniqueName="[Range]" displayFolder="" count="0" memberValueDatatype="5" unbalanced="0"/>
    <cacheHierarchy uniqueName="[Range].[Chl a (mg/L)]" caption="Chl a (mg/L)" attribute="1" defaultMemberUniqueName="[Range].[Chl a (mg/L)].[All]" allUniqueName="[Range].[Chl a (mg/L)].[All]" dimensionUniqueName="[Range]" displayFolder="" count="0" memberValueDatatype="5" unbalanced="0"/>
    <cacheHierarchy uniqueName="[Range].[Dominant plant]" caption="Dominant plant" attribute="1" defaultMemberUniqueName="[Range].[Dominant plant].[All]" allUniqueName="[Range].[Dominant plan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hl a (mg/L)]" caption="Sum of Chl a (mg/L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D.O %]" caption="Sum of D.O %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.0. mg/L]" caption="Sum of D.0. mg/L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APHELE JAKENI" refreshedDate="44790.499083449075" createdVersion="8" refreshedVersion="8" minRefreshableVersion="3" recordCount="9" xr:uid="{5BA3210F-5815-4B39-9184-5E16175C8C4D}">
  <cacheSource type="worksheet">
    <worksheetSource ref="A1:J10" sheet="Sheet1"/>
  </cacheSource>
  <cacheFields count="10">
    <cacheField name="Group" numFmtId="0">
      <sharedItems count="9">
        <s v="A"/>
        <s v="B"/>
        <s v="C"/>
        <s v="D"/>
        <s v="E"/>
        <s v="F"/>
        <s v="G"/>
        <s v="H"/>
        <s v="I"/>
      </sharedItems>
    </cacheField>
    <cacheField name="Temp( C)" numFmtId="0">
      <sharedItems containsSemiMixedTypes="0" containsString="0" containsNumber="1" minValue="11.06" maxValue="15.41"/>
    </cacheField>
    <cacheField name="Salinity(psu)" numFmtId="0">
      <sharedItems containsSemiMixedTypes="0" containsString="0" containsNumber="1" minValue="0.26" maxValue="2.21"/>
    </cacheField>
    <cacheField name="TDS(m/L)" numFmtId="0">
      <sharedItems containsSemiMixedTypes="0" containsString="0" containsNumber="1" minValue="265.25" maxValue="11397.07"/>
    </cacheField>
    <cacheField name="pH" numFmtId="0">
      <sharedItems containsSemiMixedTypes="0" containsString="0" containsNumber="1" minValue="5.8" maxValue="8.31"/>
    </cacheField>
    <cacheField name="E.C. /cm" numFmtId="0">
      <sharedItems containsSemiMixedTypes="0" containsString="0" containsNumber="1" minValue="528.75" maxValue="25505"/>
    </cacheField>
    <cacheField name="D.O %" numFmtId="0">
      <sharedItems containsSemiMixedTypes="0" containsString="0" containsNumber="1" minValue="27.43" maxValue="96.37"/>
    </cacheField>
    <cacheField name="D.0. mg/L" numFmtId="0">
      <sharedItems containsSemiMixedTypes="0" containsString="0" containsNumber="1" minValue="1.35" maxValue="9.9600000000000009"/>
    </cacheField>
    <cacheField name="Chl a (mg/L)" numFmtId="0">
      <sharedItems containsSemiMixedTypes="0" containsString="0" containsNumber="1" minValue="1.1359999999999999" maxValue="196.29"/>
    </cacheField>
    <cacheField name="Dominant pla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2.33"/>
    <n v="2.17"/>
    <n v="2033"/>
    <n v="8.0399999999999991"/>
    <n v="4065"/>
    <n v="54"/>
    <n v="5.56"/>
    <n v="64.152000000000001"/>
    <s v="Schoenoptectus nigricans"/>
  </r>
  <r>
    <x v="1"/>
    <n v="11.06"/>
    <n v="2.1800000000000002"/>
    <n v="2038.67"/>
    <n v="8.23"/>
    <n v="4082"/>
    <n v="96.37"/>
    <n v="9.9600000000000009"/>
    <n v="3.47"/>
    <s v="Schoenoptectus littoralis"/>
  </r>
  <r>
    <x v="2"/>
    <n v="11.59"/>
    <n v="2.19"/>
    <n v="2015"/>
    <n v="8.0299999999999994"/>
    <n v="4046"/>
    <n v="42.23"/>
    <n v="4.3499999999999996"/>
    <n v="196.29"/>
    <s v="Cyperus laevigatus"/>
  </r>
  <r>
    <x v="3"/>
    <n v="15.41"/>
    <n v="0.26"/>
    <n v="265.25"/>
    <n v="8.31"/>
    <n v="528.75"/>
    <n v="40.25"/>
    <n v="2.17"/>
    <n v="35.840000000000003"/>
    <s v="Phrangmites australis"/>
  </r>
  <r>
    <x v="4"/>
    <n v="11.96"/>
    <n v="1.32"/>
    <n v="1275.25"/>
    <n v="7.69"/>
    <n v="25505"/>
    <n v="27.43"/>
    <n v="3.04"/>
    <n v="2.673"/>
    <s v="Phrangmites australis"/>
  </r>
  <r>
    <x v="5"/>
    <n v="11.79"/>
    <n v="2.1800000000000002"/>
    <n v="11397.07"/>
    <n v="7.9"/>
    <n v="4078"/>
    <n v="60.67"/>
    <n v="6.59"/>
    <n v="1.1359999999999999"/>
    <s v="Gazaniarigens"/>
  </r>
  <r>
    <x v="6"/>
    <n v="14.46"/>
    <n v="0.5"/>
    <n v="784"/>
    <n v="7.37"/>
    <n v="1105.33"/>
    <n v="31.03"/>
    <n v="1.35"/>
    <n v="108.52"/>
    <s v="Phrangmites australis"/>
  </r>
  <r>
    <x v="7"/>
    <n v="11.79"/>
    <n v="0.42"/>
    <n v="650"/>
    <n v="5.8"/>
    <n v="641.25"/>
    <n v="47.58"/>
    <n v="4.79"/>
    <n v="25.66"/>
    <s v="Phrangmites australis"/>
  </r>
  <r>
    <x v="8"/>
    <n v="11.5"/>
    <n v="2.21"/>
    <n v="2065"/>
    <n v="7.92"/>
    <n v="4130.33"/>
    <n v="48.7"/>
    <n v="5.31"/>
    <n v="4.5441000000000003"/>
    <s v="Arctotheca populifol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F4C23-0890-466C-8FBD-DCE333A5F2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3" firstHeaderRow="0" firstDataRow="1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.O %" fld="1" baseField="0" baseItem="0"/>
    <dataField name="Sum of D.0. mg/L" fld="2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J$1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CD66F-2A8E-47AB-AEB8-C8F4FA9FD6D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3" firstHeaderRow="0" firstDataRow="1" firstDataCol="1"/>
  <pivotFields count="10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DS(m/L)" fld="3" baseField="0" baseItem="0"/>
    <dataField name="Sum of E.C. /cm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D3878-F0CA-4783-8365-2B275FAF5BF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3" firstHeaderRow="0" firstDataRow="1" firstDataCol="1"/>
  <pivotFields count="10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emp( C)" fld="1" baseField="0" baseItem="0"/>
    <dataField name="Sum of pH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29C68-47FF-4B86-9136-1C8DB207D2A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3" firstHeaderRow="0" firstDataRow="1" firstDataCol="1"/>
  <pivotFields count="10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inity(psu)" fld="2" baseField="0" baseItem="0"/>
    <dataField name="Sum of D.0. mg/L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50BD-CBF4-457D-AFCC-120D1C03D3B7}">
  <dimension ref="A3:C13"/>
  <sheetViews>
    <sheetView tabSelected="1" workbookViewId="0">
      <selection activeCell="L4" sqref="L4"/>
    </sheetView>
  </sheetViews>
  <sheetFormatPr defaultRowHeight="14.4" x14ac:dyDescent="0.3"/>
  <cols>
    <col min="1" max="1" width="12.33203125" bestFit="1" customWidth="1"/>
    <col min="2" max="2" width="12.21875" bestFit="1" customWidth="1"/>
    <col min="3" max="3" width="15.21875" bestFit="1" customWidth="1"/>
  </cols>
  <sheetData>
    <row r="3" spans="1:3" x14ac:dyDescent="0.3">
      <c r="A3" s="2" t="s">
        <v>25</v>
      </c>
      <c r="B3" t="s">
        <v>27</v>
      </c>
      <c r="C3" t="s">
        <v>28</v>
      </c>
    </row>
    <row r="4" spans="1:3" x14ac:dyDescent="0.3">
      <c r="A4" s="3" t="s">
        <v>10</v>
      </c>
      <c r="B4">
        <v>54</v>
      </c>
      <c r="C4">
        <v>5.56</v>
      </c>
    </row>
    <row r="5" spans="1:3" x14ac:dyDescent="0.3">
      <c r="A5" s="3" t="s">
        <v>11</v>
      </c>
      <c r="B5">
        <v>96.37</v>
      </c>
      <c r="C5">
        <v>9.9600000000000009</v>
      </c>
    </row>
    <row r="6" spans="1:3" x14ac:dyDescent="0.3">
      <c r="A6" s="3" t="s">
        <v>12</v>
      </c>
      <c r="B6">
        <v>42.23</v>
      </c>
      <c r="C6">
        <v>4.3499999999999996</v>
      </c>
    </row>
    <row r="7" spans="1:3" x14ac:dyDescent="0.3">
      <c r="A7" s="3" t="s">
        <v>13</v>
      </c>
      <c r="B7">
        <v>40.25</v>
      </c>
      <c r="C7">
        <v>2.17</v>
      </c>
    </row>
    <row r="8" spans="1:3" x14ac:dyDescent="0.3">
      <c r="A8" s="3" t="s">
        <v>14</v>
      </c>
      <c r="B8">
        <v>27.43</v>
      </c>
      <c r="C8">
        <v>3.04</v>
      </c>
    </row>
    <row r="9" spans="1:3" x14ac:dyDescent="0.3">
      <c r="A9" s="3" t="s">
        <v>15</v>
      </c>
      <c r="B9">
        <v>60.67</v>
      </c>
      <c r="C9">
        <v>6.59</v>
      </c>
    </row>
    <row r="10" spans="1:3" x14ac:dyDescent="0.3">
      <c r="A10" s="3" t="s">
        <v>18</v>
      </c>
      <c r="B10">
        <v>31.03</v>
      </c>
      <c r="C10">
        <v>1.35</v>
      </c>
    </row>
    <row r="11" spans="1:3" x14ac:dyDescent="0.3">
      <c r="A11" s="3" t="s">
        <v>16</v>
      </c>
      <c r="B11">
        <v>47.58</v>
      </c>
      <c r="C11">
        <v>4.79</v>
      </c>
    </row>
    <row r="12" spans="1:3" x14ac:dyDescent="0.3">
      <c r="A12" s="3" t="s">
        <v>17</v>
      </c>
      <c r="B12">
        <v>48.7</v>
      </c>
      <c r="C12">
        <v>5.31</v>
      </c>
    </row>
    <row r="13" spans="1:3" x14ac:dyDescent="0.3">
      <c r="A13" s="3" t="s">
        <v>26</v>
      </c>
      <c r="B13">
        <v>448.26</v>
      </c>
      <c r="C13">
        <v>43.12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A47B-BABB-4DBC-B79E-3020BB948BDC}">
  <dimension ref="A3:C13"/>
  <sheetViews>
    <sheetView workbookViewId="0">
      <selection activeCell="J2" sqref="J2"/>
    </sheetView>
  </sheetViews>
  <sheetFormatPr defaultRowHeight="14.4" x14ac:dyDescent="0.3"/>
  <cols>
    <col min="1" max="1" width="12.33203125" bestFit="1" customWidth="1"/>
    <col min="2" max="2" width="14.88671875" bestFit="1" customWidth="1"/>
    <col min="3" max="3" width="14.109375" bestFit="1" customWidth="1"/>
  </cols>
  <sheetData>
    <row r="3" spans="1:3" x14ac:dyDescent="0.3">
      <c r="A3" s="2" t="s">
        <v>25</v>
      </c>
      <c r="B3" t="s">
        <v>32</v>
      </c>
      <c r="C3" t="s">
        <v>31</v>
      </c>
    </row>
    <row r="4" spans="1:3" x14ac:dyDescent="0.3">
      <c r="A4" s="3" t="s">
        <v>10</v>
      </c>
      <c r="B4">
        <v>2033</v>
      </c>
      <c r="C4">
        <v>4065</v>
      </c>
    </row>
    <row r="5" spans="1:3" x14ac:dyDescent="0.3">
      <c r="A5" s="3" t="s">
        <v>11</v>
      </c>
      <c r="B5">
        <v>2038.67</v>
      </c>
      <c r="C5">
        <v>4082</v>
      </c>
    </row>
    <row r="6" spans="1:3" x14ac:dyDescent="0.3">
      <c r="A6" s="3" t="s">
        <v>12</v>
      </c>
      <c r="B6">
        <v>2015</v>
      </c>
      <c r="C6">
        <v>4046</v>
      </c>
    </row>
    <row r="7" spans="1:3" x14ac:dyDescent="0.3">
      <c r="A7" s="3" t="s">
        <v>13</v>
      </c>
      <c r="B7">
        <v>265.25</v>
      </c>
      <c r="C7">
        <v>528.75</v>
      </c>
    </row>
    <row r="8" spans="1:3" x14ac:dyDescent="0.3">
      <c r="A8" s="3" t="s">
        <v>14</v>
      </c>
      <c r="B8">
        <v>1275.25</v>
      </c>
      <c r="C8">
        <v>25505</v>
      </c>
    </row>
    <row r="9" spans="1:3" x14ac:dyDescent="0.3">
      <c r="A9" s="3" t="s">
        <v>15</v>
      </c>
      <c r="B9">
        <v>11397.07</v>
      </c>
      <c r="C9">
        <v>4078</v>
      </c>
    </row>
    <row r="10" spans="1:3" x14ac:dyDescent="0.3">
      <c r="A10" s="3" t="s">
        <v>18</v>
      </c>
      <c r="B10">
        <v>784</v>
      </c>
      <c r="C10">
        <v>1105.33</v>
      </c>
    </row>
    <row r="11" spans="1:3" x14ac:dyDescent="0.3">
      <c r="A11" s="3" t="s">
        <v>16</v>
      </c>
      <c r="B11">
        <v>650</v>
      </c>
      <c r="C11">
        <v>641.25</v>
      </c>
    </row>
    <row r="12" spans="1:3" x14ac:dyDescent="0.3">
      <c r="A12" s="3" t="s">
        <v>17</v>
      </c>
      <c r="B12">
        <v>2065</v>
      </c>
      <c r="C12">
        <v>4130.33</v>
      </c>
    </row>
    <row r="13" spans="1:3" x14ac:dyDescent="0.3">
      <c r="A13" s="3" t="s">
        <v>26</v>
      </c>
      <c r="B13">
        <v>22523.239999999998</v>
      </c>
      <c r="C13">
        <v>48181.66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46DB-80F2-4F40-83E7-9843A0834641}">
  <dimension ref="A3:C13"/>
  <sheetViews>
    <sheetView workbookViewId="0">
      <selection activeCell="K3" sqref="J3:K4"/>
    </sheetView>
  </sheetViews>
  <sheetFormatPr defaultRowHeight="14.4" x14ac:dyDescent="0.3"/>
  <cols>
    <col min="1" max="1" width="12.33203125" bestFit="1" customWidth="1"/>
    <col min="2" max="2" width="14.77734375" bestFit="1" customWidth="1"/>
    <col min="3" max="3" width="9.44140625" bestFit="1" customWidth="1"/>
  </cols>
  <sheetData>
    <row r="3" spans="1:3" x14ac:dyDescent="0.3">
      <c r="A3" s="2" t="s">
        <v>25</v>
      </c>
      <c r="B3" t="s">
        <v>29</v>
      </c>
      <c r="C3" t="s">
        <v>30</v>
      </c>
    </row>
    <row r="4" spans="1:3" x14ac:dyDescent="0.3">
      <c r="A4" s="3" t="s">
        <v>10</v>
      </c>
      <c r="B4">
        <v>12.33</v>
      </c>
      <c r="C4">
        <v>8.0399999999999991</v>
      </c>
    </row>
    <row r="5" spans="1:3" x14ac:dyDescent="0.3">
      <c r="A5" s="3" t="s">
        <v>11</v>
      </c>
      <c r="B5">
        <v>11.06</v>
      </c>
      <c r="C5">
        <v>8.23</v>
      </c>
    </row>
    <row r="6" spans="1:3" x14ac:dyDescent="0.3">
      <c r="A6" s="3" t="s">
        <v>12</v>
      </c>
      <c r="B6">
        <v>11.59</v>
      </c>
      <c r="C6">
        <v>8.0299999999999994</v>
      </c>
    </row>
    <row r="7" spans="1:3" x14ac:dyDescent="0.3">
      <c r="A7" s="3" t="s">
        <v>13</v>
      </c>
      <c r="B7">
        <v>15.41</v>
      </c>
      <c r="C7">
        <v>8.31</v>
      </c>
    </row>
    <row r="8" spans="1:3" x14ac:dyDescent="0.3">
      <c r="A8" s="3" t="s">
        <v>14</v>
      </c>
      <c r="B8">
        <v>11.96</v>
      </c>
      <c r="C8">
        <v>7.69</v>
      </c>
    </row>
    <row r="9" spans="1:3" x14ac:dyDescent="0.3">
      <c r="A9" s="3" t="s">
        <v>15</v>
      </c>
      <c r="B9">
        <v>11.79</v>
      </c>
      <c r="C9">
        <v>7.9</v>
      </c>
    </row>
    <row r="10" spans="1:3" x14ac:dyDescent="0.3">
      <c r="A10" s="3" t="s">
        <v>18</v>
      </c>
      <c r="B10">
        <v>14.46</v>
      </c>
      <c r="C10">
        <v>7.37</v>
      </c>
    </row>
    <row r="11" spans="1:3" x14ac:dyDescent="0.3">
      <c r="A11" s="3" t="s">
        <v>16</v>
      </c>
      <c r="B11">
        <v>11.79</v>
      </c>
      <c r="C11">
        <v>5.8</v>
      </c>
    </row>
    <row r="12" spans="1:3" x14ac:dyDescent="0.3">
      <c r="A12" s="3" t="s">
        <v>17</v>
      </c>
      <c r="B12">
        <v>11.5</v>
      </c>
      <c r="C12">
        <v>7.92</v>
      </c>
    </row>
    <row r="13" spans="1:3" x14ac:dyDescent="0.3">
      <c r="A13" s="3" t="s">
        <v>26</v>
      </c>
      <c r="B13">
        <v>111.88999999999999</v>
      </c>
      <c r="C13">
        <v>69.289999999999992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F4B0-6CDD-46D8-9449-77C68649ADA7}">
  <dimension ref="A3:C13"/>
  <sheetViews>
    <sheetView workbookViewId="0">
      <selection activeCell="A3" sqref="A3:C12"/>
    </sheetView>
  </sheetViews>
  <sheetFormatPr defaultRowHeight="14.4" x14ac:dyDescent="0.3"/>
  <cols>
    <col min="1" max="1" width="12.33203125" bestFit="1" customWidth="1"/>
    <col min="2" max="2" width="17.5546875" bestFit="1" customWidth="1"/>
    <col min="3" max="3" width="15.21875" bestFit="1" customWidth="1"/>
  </cols>
  <sheetData>
    <row r="3" spans="1:3" x14ac:dyDescent="0.3">
      <c r="A3" s="2" t="s">
        <v>25</v>
      </c>
      <c r="B3" t="s">
        <v>33</v>
      </c>
      <c r="C3" t="s">
        <v>28</v>
      </c>
    </row>
    <row r="4" spans="1:3" x14ac:dyDescent="0.3">
      <c r="A4" s="3" t="s">
        <v>10</v>
      </c>
      <c r="B4">
        <v>2.17</v>
      </c>
      <c r="C4">
        <v>5.56</v>
      </c>
    </row>
    <row r="5" spans="1:3" x14ac:dyDescent="0.3">
      <c r="A5" s="3" t="s">
        <v>11</v>
      </c>
      <c r="B5">
        <v>2.1800000000000002</v>
      </c>
      <c r="C5">
        <v>9.9600000000000009</v>
      </c>
    </row>
    <row r="6" spans="1:3" x14ac:dyDescent="0.3">
      <c r="A6" s="3" t="s">
        <v>12</v>
      </c>
      <c r="B6">
        <v>2.19</v>
      </c>
      <c r="C6">
        <v>4.3499999999999996</v>
      </c>
    </row>
    <row r="7" spans="1:3" x14ac:dyDescent="0.3">
      <c r="A7" s="3" t="s">
        <v>13</v>
      </c>
      <c r="B7">
        <v>0.26</v>
      </c>
      <c r="C7">
        <v>2.17</v>
      </c>
    </row>
    <row r="8" spans="1:3" x14ac:dyDescent="0.3">
      <c r="A8" s="3" t="s">
        <v>14</v>
      </c>
      <c r="B8">
        <v>1.32</v>
      </c>
      <c r="C8">
        <v>3.04</v>
      </c>
    </row>
    <row r="9" spans="1:3" x14ac:dyDescent="0.3">
      <c r="A9" s="3" t="s">
        <v>15</v>
      </c>
      <c r="B9">
        <v>2.1800000000000002</v>
      </c>
      <c r="C9">
        <v>6.59</v>
      </c>
    </row>
    <row r="10" spans="1:3" x14ac:dyDescent="0.3">
      <c r="A10" s="3" t="s">
        <v>18</v>
      </c>
      <c r="B10">
        <v>0.5</v>
      </c>
      <c r="C10">
        <v>1.35</v>
      </c>
    </row>
    <row r="11" spans="1:3" x14ac:dyDescent="0.3">
      <c r="A11" s="3" t="s">
        <v>16</v>
      </c>
      <c r="B11">
        <v>0.42</v>
      </c>
      <c r="C11">
        <v>4.79</v>
      </c>
    </row>
    <row r="12" spans="1:3" x14ac:dyDescent="0.3">
      <c r="A12" s="3" t="s">
        <v>17</v>
      </c>
      <c r="B12">
        <v>2.21</v>
      </c>
      <c r="C12">
        <v>5.31</v>
      </c>
    </row>
    <row r="13" spans="1:3" x14ac:dyDescent="0.3">
      <c r="A13" s="3" t="s">
        <v>26</v>
      </c>
      <c r="B13">
        <v>13.43</v>
      </c>
      <c r="C13">
        <v>43.12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1CDE-1512-4367-8F63-968D61B4599A}">
  <dimension ref="A1:J10"/>
  <sheetViews>
    <sheetView workbookViewId="0">
      <selection sqref="A1:J10"/>
    </sheetView>
  </sheetViews>
  <sheetFormatPr defaultRowHeight="14.4" x14ac:dyDescent="0.3"/>
  <cols>
    <col min="3" max="3" width="11.33203125" customWidth="1"/>
    <col min="8" max="8" width="9.44140625" customWidth="1"/>
    <col min="9" max="9" width="11.21875" customWidth="1"/>
    <col min="10" max="10" width="23.44140625" customWidth="1"/>
  </cols>
  <sheetData>
    <row r="1" spans="1:10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10</v>
      </c>
      <c r="B2">
        <v>12.33</v>
      </c>
      <c r="C2">
        <v>2.17</v>
      </c>
      <c r="D2">
        <v>2033</v>
      </c>
      <c r="E2">
        <v>8.0399999999999991</v>
      </c>
      <c r="F2">
        <v>4065</v>
      </c>
      <c r="G2">
        <v>54</v>
      </c>
      <c r="H2">
        <v>5.56</v>
      </c>
      <c r="I2">
        <v>64.152000000000001</v>
      </c>
      <c r="J2" s="1" t="s">
        <v>19</v>
      </c>
    </row>
    <row r="3" spans="1:10" x14ac:dyDescent="0.3">
      <c r="A3" t="s">
        <v>11</v>
      </c>
      <c r="B3">
        <v>11.06</v>
      </c>
      <c r="C3">
        <v>2.1800000000000002</v>
      </c>
      <c r="D3">
        <v>2038.67</v>
      </c>
      <c r="E3">
        <v>8.23</v>
      </c>
      <c r="F3">
        <v>4082</v>
      </c>
      <c r="G3">
        <v>96.37</v>
      </c>
      <c r="H3">
        <v>9.9600000000000009</v>
      </c>
      <c r="I3">
        <v>3.47</v>
      </c>
      <c r="J3" s="1" t="s">
        <v>20</v>
      </c>
    </row>
    <row r="4" spans="1:10" x14ac:dyDescent="0.3">
      <c r="A4" t="s">
        <v>12</v>
      </c>
      <c r="B4">
        <v>11.59</v>
      </c>
      <c r="C4">
        <v>2.19</v>
      </c>
      <c r="D4">
        <v>2015</v>
      </c>
      <c r="E4">
        <v>8.0299999999999994</v>
      </c>
      <c r="F4">
        <v>4046</v>
      </c>
      <c r="G4">
        <v>42.23</v>
      </c>
      <c r="H4">
        <v>4.3499999999999996</v>
      </c>
      <c r="I4">
        <v>196.29</v>
      </c>
      <c r="J4" s="1" t="s">
        <v>21</v>
      </c>
    </row>
    <row r="5" spans="1:10" x14ac:dyDescent="0.3">
      <c r="A5" t="s">
        <v>13</v>
      </c>
      <c r="B5">
        <v>15.41</v>
      </c>
      <c r="C5">
        <v>0.26</v>
      </c>
      <c r="D5">
        <v>265.25</v>
      </c>
      <c r="E5">
        <v>8.31</v>
      </c>
      <c r="F5">
        <v>528.75</v>
      </c>
      <c r="G5">
        <v>40.25</v>
      </c>
      <c r="H5">
        <v>2.17</v>
      </c>
      <c r="I5">
        <v>35.840000000000003</v>
      </c>
      <c r="J5" s="1" t="s">
        <v>22</v>
      </c>
    </row>
    <row r="6" spans="1:10" x14ac:dyDescent="0.3">
      <c r="A6" t="s">
        <v>14</v>
      </c>
      <c r="B6">
        <v>11.96</v>
      </c>
      <c r="C6">
        <v>1.32</v>
      </c>
      <c r="D6">
        <v>1275.25</v>
      </c>
      <c r="E6">
        <v>7.69</v>
      </c>
      <c r="F6">
        <v>25505</v>
      </c>
      <c r="G6">
        <v>27.43</v>
      </c>
      <c r="H6">
        <v>3.04</v>
      </c>
      <c r="I6">
        <v>2.673</v>
      </c>
      <c r="J6" s="1" t="s">
        <v>22</v>
      </c>
    </row>
    <row r="7" spans="1:10" x14ac:dyDescent="0.3">
      <c r="A7" t="s">
        <v>15</v>
      </c>
      <c r="B7">
        <v>11.79</v>
      </c>
      <c r="C7">
        <v>2.1800000000000002</v>
      </c>
      <c r="D7">
        <v>11397.07</v>
      </c>
      <c r="E7">
        <v>7.9</v>
      </c>
      <c r="F7">
        <v>4078</v>
      </c>
      <c r="G7">
        <v>60.67</v>
      </c>
      <c r="H7">
        <v>6.59</v>
      </c>
      <c r="I7">
        <v>1.1359999999999999</v>
      </c>
      <c r="J7" s="1" t="s">
        <v>23</v>
      </c>
    </row>
    <row r="8" spans="1:10" x14ac:dyDescent="0.3">
      <c r="A8" t="s">
        <v>18</v>
      </c>
      <c r="B8">
        <v>14.46</v>
      </c>
      <c r="C8">
        <v>0.5</v>
      </c>
      <c r="D8">
        <v>784</v>
      </c>
      <c r="E8">
        <v>7.37</v>
      </c>
      <c r="F8">
        <v>1105.33</v>
      </c>
      <c r="G8">
        <v>31.03</v>
      </c>
      <c r="H8">
        <v>1.35</v>
      </c>
      <c r="I8">
        <v>108.52</v>
      </c>
      <c r="J8" s="1" t="s">
        <v>22</v>
      </c>
    </row>
    <row r="9" spans="1:10" x14ac:dyDescent="0.3">
      <c r="A9" t="s">
        <v>16</v>
      </c>
      <c r="B9">
        <v>11.79</v>
      </c>
      <c r="C9">
        <v>0.42</v>
      </c>
      <c r="D9">
        <v>650</v>
      </c>
      <c r="E9">
        <v>5.8</v>
      </c>
      <c r="F9">
        <v>641.25</v>
      </c>
      <c r="G9">
        <v>47.58</v>
      </c>
      <c r="H9">
        <v>4.79</v>
      </c>
      <c r="I9">
        <v>25.66</v>
      </c>
      <c r="J9" s="1" t="s">
        <v>22</v>
      </c>
    </row>
    <row r="10" spans="1:10" x14ac:dyDescent="0.3">
      <c r="A10" t="s">
        <v>17</v>
      </c>
      <c r="B10">
        <v>11.5</v>
      </c>
      <c r="C10">
        <v>2.21</v>
      </c>
      <c r="D10">
        <v>2065</v>
      </c>
      <c r="E10">
        <v>7.92</v>
      </c>
      <c r="F10">
        <v>4130.33</v>
      </c>
      <c r="G10">
        <v>48.7</v>
      </c>
      <c r="H10">
        <v>5.31</v>
      </c>
      <c r="I10">
        <v>4.5441000000000003</v>
      </c>
      <c r="J10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Sheet5</vt:lpstr>
      <vt:lpstr>Sheet6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QAPHELE JAKENI</dc:creator>
  <cp:lastModifiedBy>QAPHELE JAKENI</cp:lastModifiedBy>
  <dcterms:created xsi:type="dcterms:W3CDTF">2022-08-03T21:37:27Z</dcterms:created>
  <dcterms:modified xsi:type="dcterms:W3CDTF">2023-11-27T10:48:32Z</dcterms:modified>
</cp:coreProperties>
</file>